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pe\Desktop\ARSRL - BRYAN ENRIQUEZ\Data Management Unit(DMU) Files\DMU-SRA ENCODER ENDORSEMENTS\Flor Endorsement\2025 Referred Isolates Database\"/>
    </mc:Choice>
  </mc:AlternateContent>
  <xr:revisionPtr revIDLastSave="0" documentId="13_ncr:1_{4AFD5BED-7F31-4E7E-9DF7-E3306195A6BC}" xr6:coauthVersionLast="47" xr6:coauthVersionMax="47" xr10:uidLastSave="{00000000-0000-0000-0000-000000000000}"/>
  <bookViews>
    <workbookView xWindow="330" yWindow="1995" windowWidth="18945" windowHeight="8385" xr2:uid="{00000000-000D-0000-FFFF-FFFF00000000}"/>
  </bookViews>
  <sheets>
    <sheet name="Calculator" sheetId="1" r:id="rId1"/>
    <sheet name="Sheet1" sheetId="4" r:id="rId2"/>
    <sheet name="Holidays" sheetId="2" r:id="rId3"/>
    <sheet name="LRD-ARS-FM-04" sheetId="3" r:id="rId4"/>
  </sheets>
  <definedNames>
    <definedName name="_xlnm._FilterDatabase" localSheetId="1" hidden="1">Sheet1!$A$1:$D$16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3" l="1"/>
  <c r="C21" i="3"/>
  <c r="C19" i="3"/>
  <c r="C18" i="3"/>
  <c r="C16" i="3"/>
  <c r="C15" i="3"/>
  <c r="C12" i="3"/>
  <c r="C11" i="3"/>
  <c r="C8" i="3"/>
  <c r="F21" i="3" l="1"/>
  <c r="F19" i="3"/>
  <c r="G6" i="3" l="1"/>
  <c r="F18" i="3"/>
  <c r="F33" i="3"/>
  <c r="F32" i="3"/>
  <c r="F29" i="3"/>
  <c r="F27" i="3"/>
  <c r="F25" i="3"/>
  <c r="F16" i="3"/>
  <c r="F15" i="3"/>
  <c r="F12" i="3"/>
  <c r="F11" i="3"/>
  <c r="F8" i="3"/>
  <c r="F6" i="3"/>
  <c r="F10" i="1"/>
  <c r="G8" i="3" l="1"/>
  <c r="G11" i="3" s="1"/>
  <c r="G12" i="3" s="1"/>
  <c r="G15" i="3" s="1"/>
  <c r="G16" i="3" s="1"/>
  <c r="G18" i="3" s="1"/>
  <c r="F6" i="1"/>
  <c r="G25" i="3" l="1"/>
  <c r="G27" i="3" s="1"/>
  <c r="G29" i="3" s="1"/>
  <c r="G32" i="3" s="1"/>
  <c r="G33" i="3" s="1"/>
  <c r="G19" i="3"/>
  <c r="G21" i="3" s="1"/>
  <c r="G22" i="3" s="1"/>
  <c r="G34" i="3" l="1"/>
</calcChain>
</file>

<file path=xl/sharedStrings.xml><?xml version="1.0" encoding="utf-8"?>
<sst xmlns="http://schemas.openxmlformats.org/spreadsheetml/2006/main" count="166" uniqueCount="97">
  <si>
    <t>Birthdate</t>
  </si>
  <si>
    <t>Specimen Date</t>
  </si>
  <si>
    <t>Age</t>
  </si>
  <si>
    <t>Start Date</t>
  </si>
  <si>
    <t>End Date</t>
  </si>
  <si>
    <t>Turn Around Time</t>
  </si>
  <si>
    <t>Holiday_Dates</t>
  </si>
  <si>
    <t>Description</t>
  </si>
  <si>
    <t>holiday</t>
  </si>
  <si>
    <t>Typhoon</t>
  </si>
  <si>
    <t>1st Draft</t>
  </si>
  <si>
    <t>2nd Draft</t>
  </si>
  <si>
    <t>3rd Draft</t>
  </si>
  <si>
    <t>TOTAL NUMBER DAYS:</t>
  </si>
  <si>
    <t>Tracking Activities</t>
  </si>
  <si>
    <t>Started/Received</t>
  </si>
  <si>
    <t>Date</t>
  </si>
  <si>
    <t>Sign</t>
  </si>
  <si>
    <t>TAT Monitoring</t>
  </si>
  <si>
    <t>Target</t>
  </si>
  <si>
    <t>DC</t>
  </si>
  <si>
    <t>Running TAT</t>
  </si>
  <si>
    <t>Finished</t>
  </si>
  <si>
    <t>Pages for Edit / Remarks</t>
  </si>
  <si>
    <t>TAT CALCULATOR</t>
  </si>
  <si>
    <t>LEGEND:</t>
  </si>
  <si>
    <t>NOTE: PUT DATES ON THE YELLOW CELLS</t>
  </si>
  <si>
    <t>ARA</t>
  </si>
  <si>
    <t>LABORATORY</t>
  </si>
  <si>
    <t>1. Receiving, Processing and Identisification of Referred Isolates</t>
  </si>
  <si>
    <t>2. Encoding of Confirmed Results Data in Data Management Unit (DMU)</t>
  </si>
  <si>
    <t>3. Checking and Editing of Encoded Data Entries (1st Draft)</t>
  </si>
  <si>
    <t>3.1. Lab Staff - Editing &amp; Archiving of ARSRL Worksheets and Data Forms (Hard File)</t>
  </si>
  <si>
    <t>1.1 Receiving and Checking of Isolates</t>
  </si>
  <si>
    <t>1.2 Sorting, Labelling, Batching &amp; Queing of Isolates</t>
  </si>
  <si>
    <t>1.3. Processing, Inoculation and Incubation of Isolates</t>
  </si>
  <si>
    <t>1.4. Identification and Antimicrobial Susceptibility Testing of Isolates</t>
  </si>
  <si>
    <t>2.1 Encoding of Consolidated Data</t>
  </si>
  <si>
    <t>2.2 Printing of Results, Scanning of ARSRL Worksheets and Checking of Encoded ARSPSS Data</t>
  </si>
  <si>
    <t>3.2 DMU Data Officer - Editing &amp; Scanning of ARSRL Referral Results Form (Raw Data)</t>
  </si>
  <si>
    <t>3.3. Lab Staff - Editing &amp; Archiving of ARSRL Referral Result Form (Raw Data) Hard File</t>
  </si>
  <si>
    <t>3.4 DMU Data Officer - Editing</t>
  </si>
  <si>
    <t>3.5. Lab Staff - Editing &amp; Archiving of ARSRL Referral Result Form (Raw Data) Hard File</t>
  </si>
  <si>
    <t>3.6 DMU Data Officer - Editing</t>
  </si>
  <si>
    <t>ACA</t>
  </si>
  <si>
    <t>BPE</t>
  </si>
  <si>
    <t>4. Verification &amp; Validation of Identification and Antimicrobial Suceptibility Test Results and Date Entries (1st Verification)</t>
  </si>
  <si>
    <t>5. Concordance of Results</t>
  </si>
  <si>
    <t>5. Releasing of Results</t>
  </si>
  <si>
    <t>1st Verification &amp; Validation</t>
  </si>
  <si>
    <t>4.1 Lab Director</t>
  </si>
  <si>
    <t>4.2 Lab Technical Staff (BENCH B)</t>
  </si>
  <si>
    <t>5.1 Verification of Concordance of Results</t>
  </si>
  <si>
    <t>5.1.1 Medical Specialist II / Executive Secretary</t>
  </si>
  <si>
    <t>5.1.2 Medical Specialist IV</t>
  </si>
  <si>
    <t>6.1 ARSRL Secretariat - Verification of Completeness of Signature, Photocopy and/or Scanning of ARSRL Referral Result Form (Final Data) &amp; Mailing of Results to Referring ARSPSS</t>
  </si>
  <si>
    <t>6.2 Laboratory Technical Staff - Archiving of ARSRL Referral Results Form (Final Data) Hard File</t>
  </si>
  <si>
    <t>&lt;- FINAL TAT</t>
  </si>
  <si>
    <t>Suspension, typhoon</t>
  </si>
  <si>
    <t>Unexpected power interruption</t>
  </si>
  <si>
    <t>Holiday</t>
  </si>
  <si>
    <t>SITE</t>
  </si>
  <si>
    <t>ACC#</t>
  </si>
  <si>
    <t>ENCODER</t>
  </si>
  <si>
    <t>CVM</t>
  </si>
  <si>
    <t>MAR</t>
  </si>
  <si>
    <t>DMC</t>
  </si>
  <si>
    <t>APM</t>
  </si>
  <si>
    <t>SLH</t>
  </si>
  <si>
    <t>BRH</t>
  </si>
  <si>
    <t>CMC</t>
  </si>
  <si>
    <t>JLM</t>
  </si>
  <si>
    <t>CRH</t>
  </si>
  <si>
    <t>WORK SUSPENSION Memorandum Circular No. 111</t>
  </si>
  <si>
    <t>Rizal Day</t>
  </si>
  <si>
    <t>Last Day of the Year</t>
  </si>
  <si>
    <t>New Year</t>
  </si>
  <si>
    <t>RECEIVED DATE</t>
  </si>
  <si>
    <t>VSM</t>
  </si>
  <si>
    <t>318-320</t>
  </si>
  <si>
    <t>238-239</t>
  </si>
  <si>
    <t>488-497</t>
  </si>
  <si>
    <t>162-163</t>
  </si>
  <si>
    <t>527-579</t>
  </si>
  <si>
    <t>164-172</t>
  </si>
  <si>
    <t>507-526</t>
  </si>
  <si>
    <t>274-277</t>
  </si>
  <si>
    <t>145-152</t>
  </si>
  <si>
    <t>STU</t>
  </si>
  <si>
    <t>99-104</t>
  </si>
  <si>
    <t>330-331</t>
  </si>
  <si>
    <t>213-219</t>
  </si>
  <si>
    <t>ZMC</t>
  </si>
  <si>
    <t>118-129</t>
  </si>
  <si>
    <t>0001-0003</t>
  </si>
  <si>
    <t>2026 ISOLATES</t>
  </si>
  <si>
    <t>BATCHDATA DONE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</si>
</sst>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3409]mmmm\ dd\,\ yyyy;@"/>
    <numFmt numFmtId="165" formatCode="[$-3409]dd\ mmmm\,\ 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MV Boli"/>
    </font>
    <font>
      <sz val="20"/>
      <color theme="0"/>
      <name val="MV Boli"/>
    </font>
    <font>
      <b/>
      <sz val="20"/>
      <color theme="0"/>
      <name val="MV Boli"/>
    </font>
    <font>
      <sz val="20"/>
      <color rgb="FF0070C0"/>
      <name val="MV Boli"/>
    </font>
    <font>
      <sz val="11"/>
      <color rgb="FF3333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Bahnschrift"/>
      <family val="2"/>
    </font>
    <font>
      <sz val="14"/>
      <color theme="1"/>
      <name val="Bahnschrift"/>
      <family val="2"/>
    </font>
    <font>
      <b/>
      <sz val="16"/>
      <color theme="1"/>
      <name val="Bahnschrift"/>
      <family val="2"/>
    </font>
    <font>
      <b/>
      <sz val="20"/>
      <color theme="0"/>
      <name val="Bahnschrift"/>
      <family val="2"/>
    </font>
    <font>
      <sz val="20"/>
      <color theme="1"/>
      <name val="Bahnschrift"/>
      <family val="2"/>
    </font>
    <font>
      <sz val="10"/>
      <color theme="1"/>
      <name val="Bahnschrift"/>
      <family val="2"/>
    </font>
    <font>
      <sz val="36"/>
      <color theme="1"/>
      <name val="Bahnschrift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6FF3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117">
    <xf numFmtId="0" fontId="0" fillId="0" borderId="0" xfId="0"/>
    <xf numFmtId="0" fontId="1" fillId="3" borderId="0" xfId="0" applyFont="1" applyFill="1"/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0" borderId="0" xfId="0" applyFont="1"/>
    <xf numFmtId="16" fontId="2" fillId="3" borderId="0" xfId="0" applyNumberFormat="1" applyFont="1" applyFill="1" applyAlignment="1">
      <alignment horizontal="center" vertical="center"/>
    </xf>
    <xf numFmtId="0" fontId="7" fillId="0" borderId="0" xfId="1"/>
    <xf numFmtId="0" fontId="8" fillId="0" borderId="0" xfId="1" applyFont="1"/>
    <xf numFmtId="164" fontId="6" fillId="0" borderId="0" xfId="0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164" fontId="5" fillId="0" borderId="0" xfId="0" applyNumberFormat="1" applyFont="1"/>
    <xf numFmtId="164" fontId="9" fillId="0" borderId="0" xfId="1" applyNumberFormat="1" applyFont="1" applyAlignment="1">
      <alignment horizontal="center"/>
    </xf>
    <xf numFmtId="164" fontId="4" fillId="2" borderId="0" xfId="0" applyNumberFormat="1" applyFont="1" applyFill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 vertical="center"/>
      <protection locked="0"/>
    </xf>
    <xf numFmtId="0" fontId="11" fillId="0" borderId="2" xfId="0" applyFont="1" applyBorder="1"/>
    <xf numFmtId="0" fontId="11" fillId="0" borderId="0" xfId="0" applyFont="1"/>
    <xf numFmtId="0" fontId="11" fillId="0" borderId="6" xfId="0" applyFont="1" applyBorder="1"/>
    <xf numFmtId="0" fontId="11" fillId="0" borderId="5" xfId="0" applyFont="1" applyBorder="1" applyAlignment="1">
      <alignment horizontal="center"/>
    </xf>
    <xf numFmtId="0" fontId="11" fillId="0" borderId="5" xfId="0" applyFont="1" applyBorder="1"/>
    <xf numFmtId="0" fontId="11" fillId="0" borderId="9" xfId="0" applyFont="1" applyBorder="1"/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9" xfId="0" applyFont="1" applyBorder="1" applyAlignment="1">
      <alignment horizontal="center" vertical="center"/>
    </xf>
    <xf numFmtId="0" fontId="11" fillId="0" borderId="7" xfId="0" applyFont="1" applyBorder="1"/>
    <xf numFmtId="0" fontId="14" fillId="0" borderId="9" xfId="0" applyFont="1" applyBorder="1"/>
    <xf numFmtId="0" fontId="14" fillId="0" borderId="0" xfId="0" applyFont="1"/>
    <xf numFmtId="0" fontId="11" fillId="0" borderId="13" xfId="0" applyFont="1" applyBorder="1"/>
    <xf numFmtId="0" fontId="11" fillId="0" borderId="14" xfId="0" applyFont="1" applyBorder="1"/>
    <xf numFmtId="0" fontId="14" fillId="0" borderId="14" xfId="0" applyFont="1" applyBorder="1"/>
    <xf numFmtId="0" fontId="12" fillId="8" borderId="15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165" fontId="11" fillId="0" borderId="14" xfId="0" applyNumberFormat="1" applyFont="1" applyBorder="1"/>
    <xf numFmtId="0" fontId="10" fillId="0" borderId="12" xfId="0" applyFont="1" applyBorder="1" applyAlignment="1">
      <alignment horizontal="left"/>
    </xf>
    <xf numFmtId="0" fontId="15" fillId="0" borderId="6" xfId="0" applyFont="1" applyBorder="1" applyAlignment="1">
      <alignment horizontal="left" vertical="center" wrapText="1"/>
    </xf>
    <xf numFmtId="165" fontId="11" fillId="7" borderId="2" xfId="0" applyNumberFormat="1" applyFont="1" applyFill="1" applyBorder="1" applyAlignment="1">
      <alignment horizontal="center" vertical="center"/>
    </xf>
    <xf numFmtId="165" fontId="11" fillId="7" borderId="5" xfId="0" applyNumberFormat="1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1" fillId="0" borderId="12" xfId="0" applyFont="1" applyBorder="1" applyAlignment="1">
      <alignment horizontal="right"/>
    </xf>
    <xf numFmtId="165" fontId="11" fillId="0" borderId="14" xfId="0" applyNumberFormat="1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9" borderId="15" xfId="0" applyFont="1" applyFill="1" applyBorder="1" applyAlignment="1">
      <alignment horizontal="center" vertical="center"/>
    </xf>
    <xf numFmtId="0" fontId="14" fillId="9" borderId="1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165" fontId="14" fillId="0" borderId="14" xfId="0" applyNumberFormat="1" applyFont="1" applyBorder="1"/>
    <xf numFmtId="0" fontId="11" fillId="0" borderId="6" xfId="0" applyFont="1" applyBorder="1" applyAlignment="1">
      <alignment horizontal="center" vertical="center"/>
    </xf>
    <xf numFmtId="165" fontId="11" fillId="0" borderId="13" xfId="0" applyNumberFormat="1" applyFont="1" applyBorder="1" applyAlignment="1">
      <alignment horizontal="center" vertical="center"/>
    </xf>
    <xf numFmtId="0" fontId="10" fillId="0" borderId="2" xfId="0" applyFont="1" applyBorder="1"/>
    <xf numFmtId="0" fontId="10" fillId="0" borderId="4" xfId="0" applyFont="1" applyBorder="1"/>
    <xf numFmtId="0" fontId="10" fillId="0" borderId="12" xfId="0" applyFont="1" applyBorder="1"/>
    <xf numFmtId="0" fontId="10" fillId="0" borderId="13" xfId="0" applyFont="1" applyBorder="1"/>
    <xf numFmtId="0" fontId="16" fillId="5" borderId="1" xfId="0" applyFont="1" applyFill="1" applyBorder="1" applyAlignment="1">
      <alignment horizontal="center" vertical="center"/>
    </xf>
    <xf numFmtId="165" fontId="11" fillId="0" borderId="7" xfId="0" applyNumberFormat="1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5" fontId="11" fillId="7" borderId="1" xfId="0" applyNumberFormat="1" applyFont="1" applyFill="1" applyBorder="1" applyAlignment="1">
      <alignment horizontal="center" vertical="center"/>
    </xf>
    <xf numFmtId="165" fontId="11" fillId="7" borderId="7" xfId="0" applyNumberFormat="1" applyFont="1" applyFill="1" applyBorder="1" applyAlignment="1">
      <alignment horizontal="center" vertical="center"/>
    </xf>
    <xf numFmtId="165" fontId="14" fillId="0" borderId="8" xfId="0" applyNumberFormat="1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165" fontId="11" fillId="7" borderId="12" xfId="0" applyNumberFormat="1" applyFont="1" applyFill="1" applyBorder="1" applyAlignment="1">
      <alignment horizontal="center" vertical="center"/>
    </xf>
    <xf numFmtId="165" fontId="11" fillId="0" borderId="3" xfId="0" applyNumberFormat="1" applyFont="1" applyBorder="1"/>
    <xf numFmtId="0" fontId="14" fillId="0" borderId="1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7" borderId="0" xfId="0" applyFont="1" applyFill="1"/>
    <xf numFmtId="0" fontId="16" fillId="5" borderId="12" xfId="0" applyFont="1" applyFill="1" applyBorder="1" applyAlignment="1">
      <alignment horizontal="right" vertical="center"/>
    </xf>
    <xf numFmtId="165" fontId="14" fillId="5" borderId="13" xfId="0" applyNumberFormat="1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164" fontId="7" fillId="0" borderId="0" xfId="1" applyNumberForma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0" xfId="0" applyFont="1"/>
    <xf numFmtId="16" fontId="18" fillId="0" borderId="0" xfId="0" applyNumberFormat="1" applyFont="1"/>
    <xf numFmtId="0" fontId="18" fillId="5" borderId="0" xfId="0" applyFont="1" applyFill="1"/>
    <xf numFmtId="16" fontId="17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5" borderId="0" xfId="0" applyFill="1" applyAlignment="1">
      <alignment horizontal="left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4" fillId="9" borderId="10" xfId="0" applyFont="1" applyFill="1" applyBorder="1" applyAlignment="1">
      <alignment horizontal="center" vertical="center"/>
    </xf>
    <xf numFmtId="0" fontId="14" fillId="9" borderId="15" xfId="0" applyFont="1" applyFill="1" applyBorder="1" applyAlignment="1">
      <alignment horizontal="center" vertical="center"/>
    </xf>
    <xf numFmtId="165" fontId="11" fillId="7" borderId="10" xfId="0" applyNumberFormat="1" applyFont="1" applyFill="1" applyBorder="1" applyAlignment="1">
      <alignment horizontal="center" vertical="center"/>
    </xf>
    <xf numFmtId="165" fontId="11" fillId="7" borderId="15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165" fontId="11" fillId="7" borderId="2" xfId="0" applyNumberFormat="1" applyFont="1" applyFill="1" applyBorder="1" applyAlignment="1">
      <alignment horizontal="center" vertical="center"/>
    </xf>
    <xf numFmtId="165" fontId="11" fillId="7" borderId="5" xfId="0" applyNumberFormat="1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4" fillId="9" borderId="11" xfId="0" applyFont="1" applyFill="1" applyBorder="1" applyAlignment="1">
      <alignment horizontal="center" vertical="center"/>
    </xf>
    <xf numFmtId="165" fontId="11" fillId="7" borderId="11" xfId="0" applyNumberFormat="1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2" fillId="8" borderId="10" xfId="0" applyFont="1" applyFill="1" applyBorder="1" applyAlignment="1">
      <alignment horizontal="center" vertical="center"/>
    </xf>
    <xf numFmtId="0" fontId="12" fillId="8" borderId="15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2000000}"/>
  </cellStyles>
  <dxfs count="3">
    <dxf>
      <font>
        <color theme="0"/>
      </font>
      <fill>
        <patternFill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[$-3409]mmmm\ dd\,\ yyyy;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6FF33"/>
      <color rgb="FFFF7C80"/>
      <color rgb="FF3333FF"/>
      <color rgb="FF33CCCC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lidays" displayName="Holidays" ref="A1:B33" totalsRowShown="0">
  <autoFilter ref="A1:B33" xr:uid="{00000000-0009-0000-0100-000001000000}"/>
  <sortState xmlns:xlrd2="http://schemas.microsoft.com/office/spreadsheetml/2017/richdata2" ref="A2:B52">
    <sortCondition ref="A1:A52"/>
  </sortState>
  <tableColumns count="2">
    <tableColumn id="1" xr3:uid="{00000000-0010-0000-0000-000001000000}" name="Holiday_Dates" dataDxfId="2" dataCellStyle="Normal 2"/>
    <tableColumn id="2" xr3:uid="{00000000-0010-0000-0000-000002000000}" name="Description" dataDxfId="1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5:H10"/>
  <sheetViews>
    <sheetView tabSelected="1" topLeftCell="A4" zoomScale="85" zoomScaleNormal="85" workbookViewId="0">
      <selection activeCell="E10" sqref="E10"/>
    </sheetView>
  </sheetViews>
  <sheetFormatPr defaultColWidth="23.7109375" defaultRowHeight="16.5" x14ac:dyDescent="0.3"/>
  <cols>
    <col min="1" max="1" width="11.140625" style="1" customWidth="1"/>
    <col min="2" max="2" width="45.140625" style="1" customWidth="1"/>
    <col min="3" max="3" width="9.5703125" style="1" customWidth="1"/>
    <col min="4" max="4" width="46.5703125" style="1" customWidth="1"/>
    <col min="5" max="5" width="12.140625" style="1" customWidth="1"/>
    <col min="6" max="6" width="65.85546875" style="1" customWidth="1"/>
    <col min="7" max="7" width="3.85546875" style="1" customWidth="1"/>
    <col min="8" max="8" width="65.85546875" style="1" customWidth="1"/>
    <col min="9" max="16384" width="23.7109375" style="1"/>
  </cols>
  <sheetData>
    <row r="5" spans="1:8" s="3" customFormat="1" ht="30" customHeight="1" x14ac:dyDescent="0.25">
      <c r="A5" s="87"/>
      <c r="B5" s="4" t="s">
        <v>0</v>
      </c>
      <c r="C5" s="4"/>
      <c r="D5" s="4" t="s">
        <v>1</v>
      </c>
      <c r="E5" s="4"/>
      <c r="F5" s="4" t="s">
        <v>2</v>
      </c>
    </row>
    <row r="6" spans="1:8" s="3" customFormat="1" ht="30" customHeight="1" x14ac:dyDescent="0.25">
      <c r="A6" s="87"/>
      <c r="B6" s="14">
        <v>21105</v>
      </c>
      <c r="C6" s="7"/>
      <c r="D6" s="14">
        <v>45834</v>
      </c>
      <c r="E6" s="7"/>
      <c r="F6" s="5" t="str">
        <f>DATEDIF(B6,D6,"Y")&amp;" Years, "&amp;DATEDIF(B6,D6,"YM")&amp;" Months, "&amp;DATEDIF(B6,D6,"MD")&amp;" Days"</f>
        <v>67 Years, 8 Months, 14 Days</v>
      </c>
    </row>
    <row r="9" spans="1:8" s="3" customFormat="1" ht="30" customHeight="1" x14ac:dyDescent="0.25">
      <c r="B9" s="4" t="s">
        <v>3</v>
      </c>
      <c r="C9" s="4"/>
      <c r="D9" s="4" t="s">
        <v>4</v>
      </c>
      <c r="E9" s="4"/>
      <c r="F9" s="4" t="s">
        <v>5</v>
      </c>
      <c r="H9" s="4"/>
    </row>
    <row r="10" spans="1:8" s="3" customFormat="1" ht="30" customHeight="1" x14ac:dyDescent="0.25">
      <c r="B10" s="15">
        <v>46058</v>
      </c>
      <c r="C10" s="2"/>
      <c r="D10" s="15">
        <v>46066</v>
      </c>
      <c r="E10" s="2"/>
      <c r="F10" s="5">
        <f>(NETWORKDAYS(B10,D10,Holidays[Holiday_Dates]))-1</f>
        <v>6</v>
      </c>
      <c r="H10" s="4"/>
    </row>
  </sheetData>
  <sheetProtection selectLockedCells="1"/>
  <mergeCells count="1">
    <mergeCell ref="A5:A6"/>
  </mergeCells>
  <pageMargins left="0.7" right="0.7" top="0.75" bottom="0.75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E59F5-C04F-4F34-A65C-7D5E7A4E0D6B}">
  <sheetPr codeName="Sheet2"/>
  <dimension ref="A1:E20"/>
  <sheetViews>
    <sheetView zoomScale="85" zoomScaleNormal="85" workbookViewId="0">
      <selection activeCell="B14" sqref="B14"/>
    </sheetView>
  </sheetViews>
  <sheetFormatPr defaultColWidth="10.140625" defaultRowHeight="18.75" x14ac:dyDescent="0.3"/>
  <cols>
    <col min="1" max="1" width="7.28515625" style="83" bestFit="1" customWidth="1"/>
    <col min="2" max="2" width="18" style="82" customWidth="1"/>
    <col min="3" max="3" width="9.7109375" style="83" hidden="1" customWidth="1"/>
    <col min="4" max="4" width="10.42578125" style="83" customWidth="1"/>
    <col min="5" max="5" width="20.5703125" style="83" bestFit="1" customWidth="1"/>
    <col min="6" max="16384" width="10.140625" style="83"/>
  </cols>
  <sheetData>
    <row r="1" spans="1:4" s="81" customFormat="1" x14ac:dyDescent="0.3">
      <c r="A1" s="81" t="s">
        <v>61</v>
      </c>
      <c r="B1" s="82" t="s">
        <v>62</v>
      </c>
      <c r="C1" s="81" t="s">
        <v>63</v>
      </c>
      <c r="D1" s="81" t="s">
        <v>77</v>
      </c>
    </row>
    <row r="2" spans="1:4" x14ac:dyDescent="0.3">
      <c r="A2" s="85" t="s">
        <v>67</v>
      </c>
      <c r="B2" s="82" t="s">
        <v>86</v>
      </c>
      <c r="C2" s="83" t="s">
        <v>44</v>
      </c>
      <c r="D2" s="84">
        <v>46057</v>
      </c>
    </row>
    <row r="3" spans="1:4" x14ac:dyDescent="0.3">
      <c r="A3" s="85" t="s">
        <v>69</v>
      </c>
      <c r="B3" s="82" t="s">
        <v>82</v>
      </c>
      <c r="C3" s="83" t="s">
        <v>44</v>
      </c>
      <c r="D3" s="84">
        <v>46055</v>
      </c>
    </row>
    <row r="4" spans="1:4" x14ac:dyDescent="0.3">
      <c r="A4" s="85" t="s">
        <v>69</v>
      </c>
      <c r="B4" s="82" t="s">
        <v>84</v>
      </c>
      <c r="C4" s="83" t="s">
        <v>44</v>
      </c>
      <c r="D4" s="84">
        <v>46057</v>
      </c>
    </row>
    <row r="5" spans="1:4" x14ac:dyDescent="0.3">
      <c r="A5" s="85" t="s">
        <v>70</v>
      </c>
      <c r="B5" s="82" t="s">
        <v>89</v>
      </c>
      <c r="C5" s="83" t="s">
        <v>44</v>
      </c>
      <c r="D5" s="84">
        <v>46058</v>
      </c>
    </row>
    <row r="6" spans="1:4" x14ac:dyDescent="0.3">
      <c r="A6" s="85" t="s">
        <v>72</v>
      </c>
      <c r="B6" s="82">
        <v>144</v>
      </c>
      <c r="C6" s="83" t="s">
        <v>44</v>
      </c>
      <c r="D6" s="84">
        <v>46051</v>
      </c>
    </row>
    <row r="7" spans="1:4" x14ac:dyDescent="0.3">
      <c r="A7" s="85" t="s">
        <v>72</v>
      </c>
      <c r="B7" s="82" t="s">
        <v>87</v>
      </c>
      <c r="C7" s="83" t="s">
        <v>44</v>
      </c>
      <c r="D7" s="84">
        <v>46057</v>
      </c>
    </row>
    <row r="8" spans="1:4" x14ac:dyDescent="0.3">
      <c r="A8" s="85" t="s">
        <v>64</v>
      </c>
      <c r="B8" s="82" t="s">
        <v>80</v>
      </c>
      <c r="C8" s="83" t="s">
        <v>44</v>
      </c>
      <c r="D8" s="84">
        <v>46052</v>
      </c>
    </row>
    <row r="9" spans="1:4" x14ac:dyDescent="0.3">
      <c r="A9" s="85" t="s">
        <v>66</v>
      </c>
      <c r="B9" s="82" t="s">
        <v>81</v>
      </c>
      <c r="C9" s="83" t="s">
        <v>44</v>
      </c>
      <c r="D9" s="84">
        <v>46055</v>
      </c>
    </row>
    <row r="10" spans="1:4" x14ac:dyDescent="0.3">
      <c r="A10" s="85" t="s">
        <v>71</v>
      </c>
      <c r="B10" s="82" t="s">
        <v>91</v>
      </c>
      <c r="C10" s="83" t="s">
        <v>44</v>
      </c>
      <c r="D10" s="84">
        <v>46058</v>
      </c>
    </row>
    <row r="11" spans="1:4" x14ac:dyDescent="0.3">
      <c r="A11" s="85" t="s">
        <v>65</v>
      </c>
      <c r="B11" s="82" t="s">
        <v>79</v>
      </c>
      <c r="C11" s="83" t="s">
        <v>44</v>
      </c>
      <c r="D11" s="84">
        <v>46051</v>
      </c>
    </row>
    <row r="12" spans="1:4" x14ac:dyDescent="0.3">
      <c r="A12" s="85" t="s">
        <v>65</v>
      </c>
      <c r="B12" s="82" t="s">
        <v>90</v>
      </c>
      <c r="C12" s="83" t="s">
        <v>44</v>
      </c>
      <c r="D12" s="84">
        <v>46058</v>
      </c>
    </row>
    <row r="13" spans="1:4" x14ac:dyDescent="0.3">
      <c r="A13" s="85" t="s">
        <v>78</v>
      </c>
      <c r="B13" s="82" t="s">
        <v>83</v>
      </c>
      <c r="C13" s="83" t="s">
        <v>44</v>
      </c>
      <c r="D13" s="84">
        <v>46057</v>
      </c>
    </row>
    <row r="14" spans="1:4" x14ac:dyDescent="0.3">
      <c r="A14" s="85" t="s">
        <v>78</v>
      </c>
      <c r="B14" s="82" t="s">
        <v>85</v>
      </c>
      <c r="C14" s="83" t="s">
        <v>44</v>
      </c>
      <c r="D14" s="84">
        <v>46057</v>
      </c>
    </row>
    <row r="15" spans="1:4" x14ac:dyDescent="0.3">
      <c r="A15" s="85" t="s">
        <v>92</v>
      </c>
      <c r="B15" s="82">
        <v>117</v>
      </c>
      <c r="C15" s="83" t="s">
        <v>44</v>
      </c>
      <c r="D15" s="84">
        <v>46058</v>
      </c>
    </row>
    <row r="16" spans="1:4" x14ac:dyDescent="0.3">
      <c r="A16" s="85" t="s">
        <v>92</v>
      </c>
      <c r="B16" s="82" t="s">
        <v>93</v>
      </c>
      <c r="C16" s="83" t="s">
        <v>44</v>
      </c>
      <c r="D16" s="84">
        <v>46058</v>
      </c>
    </row>
    <row r="17" spans="1:5" x14ac:dyDescent="0.3">
      <c r="A17" s="88" t="s">
        <v>96</v>
      </c>
      <c r="B17" s="88"/>
      <c r="D17" s="84"/>
    </row>
    <row r="18" spans="1:5" x14ac:dyDescent="0.3">
      <c r="A18" s="83" t="s">
        <v>66</v>
      </c>
      <c r="B18" s="86" t="s">
        <v>94</v>
      </c>
      <c r="C18" s="83" t="s">
        <v>44</v>
      </c>
      <c r="D18" s="84">
        <v>46062</v>
      </c>
      <c r="E18" s="83" t="s">
        <v>95</v>
      </c>
    </row>
    <row r="19" spans="1:5" x14ac:dyDescent="0.3">
      <c r="A19" s="83" t="s">
        <v>68</v>
      </c>
      <c r="B19" s="82">
        <v>1</v>
      </c>
      <c r="C19" s="83" t="s">
        <v>44</v>
      </c>
      <c r="D19" s="84">
        <v>46058</v>
      </c>
      <c r="E19" s="83" t="s">
        <v>95</v>
      </c>
    </row>
    <row r="20" spans="1:5" x14ac:dyDescent="0.3">
      <c r="A20" s="83" t="s">
        <v>88</v>
      </c>
      <c r="B20" s="82">
        <v>1</v>
      </c>
      <c r="C20" s="83" t="s">
        <v>44</v>
      </c>
      <c r="D20" s="84">
        <v>46058</v>
      </c>
      <c r="E20" s="83" t="s">
        <v>95</v>
      </c>
    </row>
  </sheetData>
  <autoFilter ref="A1:D16" xr:uid="{32BE59F5-C04F-4F34-A65C-7D5E7A4E0D6B}">
    <sortState xmlns:xlrd2="http://schemas.microsoft.com/office/spreadsheetml/2017/richdata2" ref="A2:D16">
      <sortCondition ref="A1:A16"/>
    </sortState>
  </autoFilter>
  <mergeCells count="1">
    <mergeCell ref="A17:B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33"/>
  <sheetViews>
    <sheetView topLeftCell="A25" workbookViewId="0">
      <selection activeCell="E31" sqref="E31"/>
    </sheetView>
  </sheetViews>
  <sheetFormatPr defaultRowHeight="15" x14ac:dyDescent="0.25"/>
  <cols>
    <col min="1" max="1" width="18.42578125" style="12" customWidth="1"/>
    <col min="2" max="2" width="46.7109375" bestFit="1" customWidth="1"/>
  </cols>
  <sheetData>
    <row r="1" spans="1:2" x14ac:dyDescent="0.25">
      <c r="A1" s="10" t="s">
        <v>6</v>
      </c>
      <c r="B1" s="6" t="s">
        <v>7</v>
      </c>
    </row>
    <row r="2" spans="1:2" x14ac:dyDescent="0.25">
      <c r="A2" s="11">
        <v>45658</v>
      </c>
      <c r="B2" s="9" t="s">
        <v>8</v>
      </c>
    </row>
    <row r="3" spans="1:2" x14ac:dyDescent="0.25">
      <c r="A3" s="11">
        <v>45686</v>
      </c>
      <c r="B3" s="9" t="s">
        <v>8</v>
      </c>
    </row>
    <row r="4" spans="1:2" x14ac:dyDescent="0.25">
      <c r="A4" s="11">
        <v>45748</v>
      </c>
      <c r="B4" s="9" t="s">
        <v>8</v>
      </c>
    </row>
    <row r="5" spans="1:2" x14ac:dyDescent="0.25">
      <c r="A5" s="11">
        <v>45756</v>
      </c>
      <c r="B5" s="9" t="s">
        <v>8</v>
      </c>
    </row>
    <row r="6" spans="1:2" x14ac:dyDescent="0.25">
      <c r="A6" s="11">
        <v>45764</v>
      </c>
      <c r="B6" s="9" t="s">
        <v>8</v>
      </c>
    </row>
    <row r="7" spans="1:2" x14ac:dyDescent="0.25">
      <c r="A7" s="11">
        <v>45765</v>
      </c>
      <c r="B7" s="9" t="s">
        <v>8</v>
      </c>
    </row>
    <row r="8" spans="1:2" x14ac:dyDescent="0.25">
      <c r="A8" s="11">
        <v>45778</v>
      </c>
      <c r="B8" s="8" t="s">
        <v>8</v>
      </c>
    </row>
    <row r="9" spans="1:2" x14ac:dyDescent="0.25">
      <c r="A9" s="11">
        <v>45789</v>
      </c>
      <c r="B9" s="8" t="s">
        <v>8</v>
      </c>
    </row>
    <row r="10" spans="1:2" x14ac:dyDescent="0.25">
      <c r="A10" s="13">
        <v>45814</v>
      </c>
      <c r="B10" s="8" t="s">
        <v>8</v>
      </c>
    </row>
    <row r="11" spans="1:2" x14ac:dyDescent="0.25">
      <c r="A11" s="13">
        <v>45820</v>
      </c>
      <c r="B11" s="8" t="s">
        <v>8</v>
      </c>
    </row>
    <row r="12" spans="1:2" x14ac:dyDescent="0.25">
      <c r="A12" s="13">
        <v>45859</v>
      </c>
      <c r="B12" s="8" t="s">
        <v>9</v>
      </c>
    </row>
    <row r="13" spans="1:2" x14ac:dyDescent="0.25">
      <c r="A13" s="13">
        <v>45860</v>
      </c>
      <c r="B13" s="8" t="s">
        <v>9</v>
      </c>
    </row>
    <row r="14" spans="1:2" x14ac:dyDescent="0.25">
      <c r="A14" s="13">
        <v>45861</v>
      </c>
      <c r="B14" s="8" t="s">
        <v>9</v>
      </c>
    </row>
    <row r="15" spans="1:2" x14ac:dyDescent="0.25">
      <c r="A15" s="13">
        <v>45862</v>
      </c>
      <c r="B15" s="8" t="s">
        <v>9</v>
      </c>
    </row>
    <row r="16" spans="1:2" x14ac:dyDescent="0.25">
      <c r="A16" s="13">
        <v>45863</v>
      </c>
      <c r="B16" s="8" t="s">
        <v>9</v>
      </c>
    </row>
    <row r="17" spans="1:2" x14ac:dyDescent="0.25">
      <c r="A17" s="13">
        <v>45890</v>
      </c>
      <c r="B17" s="8" t="s">
        <v>8</v>
      </c>
    </row>
    <row r="18" spans="1:2" x14ac:dyDescent="0.25">
      <c r="A18" s="13">
        <v>45894</v>
      </c>
      <c r="B18" s="8" t="s">
        <v>8</v>
      </c>
    </row>
    <row r="19" spans="1:2" x14ac:dyDescent="0.25">
      <c r="A19" s="80">
        <v>45895</v>
      </c>
      <c r="B19" s="8" t="s">
        <v>58</v>
      </c>
    </row>
    <row r="20" spans="1:2" x14ac:dyDescent="0.25">
      <c r="A20" s="80">
        <v>45901</v>
      </c>
      <c r="B20" s="8" t="s">
        <v>58</v>
      </c>
    </row>
    <row r="21" spans="1:2" x14ac:dyDescent="0.25">
      <c r="A21" s="80">
        <v>45820</v>
      </c>
      <c r="B21" s="8" t="s">
        <v>59</v>
      </c>
    </row>
    <row r="22" spans="1:2" x14ac:dyDescent="0.25">
      <c r="A22" s="80">
        <v>45922</v>
      </c>
      <c r="B22" s="8" t="s">
        <v>58</v>
      </c>
    </row>
    <row r="23" spans="1:2" x14ac:dyDescent="0.25">
      <c r="A23" s="80">
        <v>45926</v>
      </c>
      <c r="B23" s="8" t="s">
        <v>58</v>
      </c>
    </row>
    <row r="24" spans="1:2" x14ac:dyDescent="0.25">
      <c r="A24" s="80">
        <v>45961</v>
      </c>
      <c r="B24" s="8" t="s">
        <v>60</v>
      </c>
    </row>
    <row r="25" spans="1:2" x14ac:dyDescent="0.25">
      <c r="A25" s="80">
        <v>45971</v>
      </c>
      <c r="B25" s="8" t="s">
        <v>58</v>
      </c>
    </row>
    <row r="26" spans="1:2" x14ac:dyDescent="0.25">
      <c r="A26" s="80">
        <v>45999</v>
      </c>
      <c r="B26" s="8" t="s">
        <v>60</v>
      </c>
    </row>
    <row r="27" spans="1:2" x14ac:dyDescent="0.25">
      <c r="A27" s="80">
        <v>46015</v>
      </c>
      <c r="B27" s="8" t="s">
        <v>60</v>
      </c>
    </row>
    <row r="28" spans="1:2" x14ac:dyDescent="0.25">
      <c r="A28" s="80">
        <v>46016</v>
      </c>
      <c r="B28" s="8" t="s">
        <v>60</v>
      </c>
    </row>
    <row r="29" spans="1:2" x14ac:dyDescent="0.25">
      <c r="A29" s="80">
        <v>46020</v>
      </c>
      <c r="B29" s="8" t="s">
        <v>73</v>
      </c>
    </row>
    <row r="30" spans="1:2" x14ac:dyDescent="0.25">
      <c r="A30" s="80">
        <v>46021</v>
      </c>
      <c r="B30" s="8" t="s">
        <v>74</v>
      </c>
    </row>
    <row r="31" spans="1:2" x14ac:dyDescent="0.25">
      <c r="A31" s="80">
        <v>46022</v>
      </c>
      <c r="B31" s="8" t="s">
        <v>75</v>
      </c>
    </row>
    <row r="32" spans="1:2" x14ac:dyDescent="0.25">
      <c r="A32" s="80">
        <v>46023</v>
      </c>
      <c r="B32" s="8" t="s">
        <v>76</v>
      </c>
    </row>
    <row r="33" spans="1:2" x14ac:dyDescent="0.25">
      <c r="A33" s="80">
        <v>46024</v>
      </c>
      <c r="B33" s="8" t="s">
        <v>73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F298-52F3-4839-8A2A-C33E52C6EF00}">
  <sheetPr codeName="Sheet4"/>
  <dimension ref="A1:M34"/>
  <sheetViews>
    <sheetView showGridLines="0" topLeftCell="A10" zoomScale="85" zoomScaleNormal="85" workbookViewId="0">
      <selection activeCell="J18" sqref="J18"/>
    </sheetView>
  </sheetViews>
  <sheetFormatPr defaultRowHeight="25.5" x14ac:dyDescent="0.35"/>
  <cols>
    <col min="1" max="1" width="13.28515625" style="17" customWidth="1"/>
    <col min="2" max="2" width="43" style="17" customWidth="1"/>
    <col min="3" max="3" width="20.85546875" style="65" customWidth="1"/>
    <col min="4" max="4" width="19" style="47" customWidth="1"/>
    <col min="5" max="5" width="15.5703125" style="47" customWidth="1"/>
    <col min="6" max="6" width="17" style="74" customWidth="1"/>
    <col min="7" max="7" width="17.42578125" style="28" customWidth="1"/>
    <col min="8" max="8" width="27.85546875" style="65" customWidth="1"/>
    <col min="9" max="9" width="20.7109375" style="47" customWidth="1"/>
    <col min="10" max="10" width="32.7109375" style="17" bestFit="1" customWidth="1"/>
    <col min="11" max="12" width="9.140625" style="17"/>
    <col min="13" max="13" width="53.85546875" style="17" bestFit="1" customWidth="1"/>
    <col min="14" max="16384" width="9.140625" style="17"/>
  </cols>
  <sheetData>
    <row r="1" spans="1:13" x14ac:dyDescent="0.35">
      <c r="A1" s="93" t="s">
        <v>24</v>
      </c>
      <c r="B1" s="94"/>
      <c r="C1" s="94"/>
      <c r="D1" s="94"/>
      <c r="E1" s="94"/>
      <c r="F1" s="94"/>
      <c r="G1" s="94"/>
      <c r="H1" s="94"/>
      <c r="I1" s="94"/>
      <c r="J1" s="95"/>
    </row>
    <row r="2" spans="1:13" ht="26.25" thickBot="1" x14ac:dyDescent="0.4">
      <c r="A2" s="20"/>
      <c r="J2" s="18"/>
    </row>
    <row r="3" spans="1:13" ht="18" x14ac:dyDescent="0.25">
      <c r="A3" s="96" t="s">
        <v>14</v>
      </c>
      <c r="B3" s="97"/>
      <c r="C3" s="104" t="s">
        <v>15</v>
      </c>
      <c r="D3" s="92"/>
      <c r="E3" s="91" t="s">
        <v>18</v>
      </c>
      <c r="F3" s="104"/>
      <c r="G3" s="92"/>
      <c r="H3" s="91" t="s">
        <v>22</v>
      </c>
      <c r="I3" s="92"/>
      <c r="J3" s="107" t="s">
        <v>23</v>
      </c>
    </row>
    <row r="4" spans="1:13" s="22" customFormat="1" ht="20.25" thickBot="1" x14ac:dyDescent="0.3">
      <c r="A4" s="98"/>
      <c r="B4" s="99"/>
      <c r="C4" s="69" t="s">
        <v>16</v>
      </c>
      <c r="D4" s="25" t="s">
        <v>17</v>
      </c>
      <c r="E4" s="45" t="s">
        <v>19</v>
      </c>
      <c r="F4" s="75" t="s">
        <v>20</v>
      </c>
      <c r="G4" s="24" t="s">
        <v>21</v>
      </c>
      <c r="H4" s="64" t="s">
        <v>16</v>
      </c>
      <c r="I4" s="25" t="s">
        <v>17</v>
      </c>
      <c r="J4" s="109"/>
      <c r="M4" s="22" t="s">
        <v>25</v>
      </c>
    </row>
    <row r="5" spans="1:13" ht="26.25" thickBot="1" x14ac:dyDescent="0.4">
      <c r="A5" s="36" t="s">
        <v>29</v>
      </c>
      <c r="B5" s="30"/>
      <c r="C5" s="51"/>
      <c r="D5" s="34"/>
      <c r="E5" s="46"/>
      <c r="F5" s="52"/>
      <c r="G5" s="31"/>
      <c r="H5" s="51"/>
      <c r="I5" s="34"/>
      <c r="J5" s="29"/>
      <c r="M5" s="76" t="s">
        <v>26</v>
      </c>
    </row>
    <row r="6" spans="1:13" ht="18" x14ac:dyDescent="0.25">
      <c r="A6" s="19"/>
      <c r="B6" s="37" t="s">
        <v>33</v>
      </c>
      <c r="C6" s="105">
        <v>45813</v>
      </c>
      <c r="D6" s="107" t="s">
        <v>28</v>
      </c>
      <c r="E6" s="114">
        <v>9</v>
      </c>
      <c r="F6" s="89">
        <f>(NETWORKDAYS(C6,H6,Holidays[Holiday_Dates]))-1</f>
        <v>2</v>
      </c>
      <c r="G6" s="100">
        <f>(NETWORKDAYS(C6,H6,Holidays[Holiday_Dates]))-1</f>
        <v>2</v>
      </c>
      <c r="H6" s="102">
        <v>45818</v>
      </c>
      <c r="I6" s="108" t="s">
        <v>28</v>
      </c>
      <c r="J6" s="18"/>
    </row>
    <row r="7" spans="1:13" ht="26.25" thickBot="1" x14ac:dyDescent="0.3">
      <c r="A7" s="19"/>
      <c r="B7" s="37" t="s">
        <v>34</v>
      </c>
      <c r="C7" s="106"/>
      <c r="D7" s="108"/>
      <c r="E7" s="115"/>
      <c r="F7" s="90"/>
      <c r="G7" s="101"/>
      <c r="H7" s="103"/>
      <c r="I7" s="109"/>
      <c r="J7" s="18"/>
    </row>
    <row r="8" spans="1:13" x14ac:dyDescent="0.25">
      <c r="A8" s="19"/>
      <c r="B8" s="37" t="s">
        <v>35</v>
      </c>
      <c r="C8" s="105">
        <f>H6</f>
        <v>45818</v>
      </c>
      <c r="D8" s="107" t="s">
        <v>28</v>
      </c>
      <c r="E8" s="115">
        <v>9</v>
      </c>
      <c r="F8" s="89">
        <f>(NETWORKDAYS(C8,H8,Holidays[Holiday_Dates]))-1</f>
        <v>2</v>
      </c>
      <c r="G8" s="100">
        <f>SUM(G6,F8)</f>
        <v>4</v>
      </c>
      <c r="H8" s="102">
        <v>45821</v>
      </c>
      <c r="I8" s="108" t="s">
        <v>28</v>
      </c>
      <c r="J8" s="18"/>
    </row>
    <row r="9" spans="1:13" ht="26.25" thickBot="1" x14ac:dyDescent="0.3">
      <c r="A9" s="23"/>
      <c r="B9" s="37" t="s">
        <v>36</v>
      </c>
      <c r="C9" s="106"/>
      <c r="D9" s="109"/>
      <c r="E9" s="116"/>
      <c r="F9" s="90"/>
      <c r="G9" s="110"/>
      <c r="H9" s="111"/>
      <c r="I9" s="109"/>
      <c r="J9" s="21"/>
    </row>
    <row r="10" spans="1:13" ht="26.25" thickBot="1" x14ac:dyDescent="0.3">
      <c r="A10" s="36" t="s">
        <v>30</v>
      </c>
      <c r="B10" s="30"/>
      <c r="C10" s="51"/>
      <c r="D10" s="34"/>
      <c r="E10" s="46"/>
      <c r="F10" s="52"/>
      <c r="G10" s="52"/>
      <c r="H10" s="51"/>
      <c r="I10" s="34"/>
      <c r="J10" s="29"/>
    </row>
    <row r="11" spans="1:13" ht="35.25" customHeight="1" thickBot="1" x14ac:dyDescent="0.3">
      <c r="A11" s="19"/>
      <c r="B11" s="37" t="s">
        <v>37</v>
      </c>
      <c r="C11" s="70">
        <f>H8</f>
        <v>45821</v>
      </c>
      <c r="D11" s="48" t="s">
        <v>44</v>
      </c>
      <c r="E11" s="32">
        <v>4</v>
      </c>
      <c r="F11" s="73">
        <f>(NETWORKDAYS(C11,H11,Holidays[Holiday_Dates]))-1</f>
        <v>4</v>
      </c>
      <c r="G11" s="55">
        <f>SUM(G8,F11)</f>
        <v>8</v>
      </c>
      <c r="H11" s="66">
        <v>45827</v>
      </c>
      <c r="I11" s="48" t="s">
        <v>44</v>
      </c>
      <c r="J11" s="18"/>
    </row>
    <row r="12" spans="1:13" ht="39" thickBot="1" x14ac:dyDescent="0.3">
      <c r="A12" s="19"/>
      <c r="B12" s="37" t="s">
        <v>38</v>
      </c>
      <c r="C12" s="66">
        <f>H11</f>
        <v>45827</v>
      </c>
      <c r="D12" s="42" t="s">
        <v>44</v>
      </c>
      <c r="E12" s="32">
        <v>2</v>
      </c>
      <c r="F12" s="73">
        <f>(NETWORKDAYS(C12,H12,Holidays[Holiday_Dates]))-1</f>
        <v>1</v>
      </c>
      <c r="G12" s="55">
        <f>SUM(G11,F12)</f>
        <v>9</v>
      </c>
      <c r="H12" s="66">
        <v>45828</v>
      </c>
      <c r="I12" s="57" t="s">
        <v>27</v>
      </c>
      <c r="J12" s="18"/>
    </row>
    <row r="13" spans="1:13" ht="27.75" customHeight="1" thickBot="1" x14ac:dyDescent="0.3">
      <c r="A13" s="36" t="s">
        <v>31</v>
      </c>
      <c r="B13" s="30"/>
      <c r="C13" s="51"/>
      <c r="D13" s="34"/>
      <c r="E13" s="46"/>
      <c r="F13" s="52"/>
      <c r="G13" s="52"/>
      <c r="H13" s="51"/>
      <c r="I13" s="34"/>
      <c r="J13" s="29"/>
    </row>
    <row r="14" spans="1:13" ht="26.25" thickBot="1" x14ac:dyDescent="0.4">
      <c r="A14" s="50" t="s">
        <v>10</v>
      </c>
      <c r="B14" s="30"/>
      <c r="C14" s="51"/>
      <c r="D14" s="35"/>
      <c r="E14" s="35"/>
      <c r="F14" s="52"/>
      <c r="G14" s="56"/>
      <c r="H14" s="51"/>
      <c r="I14" s="58"/>
      <c r="J14" s="18"/>
    </row>
    <row r="15" spans="1:13" ht="26.25" thickBot="1" x14ac:dyDescent="0.3">
      <c r="A15" s="16"/>
      <c r="B15" s="43" t="s">
        <v>32</v>
      </c>
      <c r="C15" s="66">
        <f>H12</f>
        <v>45828</v>
      </c>
      <c r="D15" s="48" t="s">
        <v>28</v>
      </c>
      <c r="E15" s="32">
        <v>4</v>
      </c>
      <c r="F15" s="73">
        <f>(NETWORKDAYS(C15,H15,Holidays[Holiday_Dates]))-1</f>
        <v>12</v>
      </c>
      <c r="G15" s="55">
        <f>SUM(G12,F15)</f>
        <v>21</v>
      </c>
      <c r="H15" s="66">
        <v>45846</v>
      </c>
      <c r="I15" s="48" t="s">
        <v>28</v>
      </c>
      <c r="J15" s="18"/>
    </row>
    <row r="16" spans="1:13" ht="26.25" thickBot="1" x14ac:dyDescent="0.3">
      <c r="A16" s="20"/>
      <c r="B16" s="37" t="s">
        <v>39</v>
      </c>
      <c r="C16" s="66">
        <f>H15</f>
        <v>45846</v>
      </c>
      <c r="D16" s="40" t="s">
        <v>45</v>
      </c>
      <c r="E16" s="32">
        <v>4</v>
      </c>
      <c r="F16" s="73">
        <f>(NETWORKDAYS(C16,H16,Holidays[Holiday_Dates]))-1</f>
        <v>4</v>
      </c>
      <c r="G16" s="53">
        <f>SUM(G15,F16)</f>
        <v>25</v>
      </c>
      <c r="H16" s="66">
        <v>45852</v>
      </c>
      <c r="I16" s="41" t="s">
        <v>45</v>
      </c>
      <c r="J16" s="18"/>
    </row>
    <row r="17" spans="1:10" ht="18.75" thickBot="1" x14ac:dyDescent="0.3">
      <c r="A17" s="50" t="s">
        <v>11</v>
      </c>
      <c r="B17" s="30"/>
      <c r="C17" s="30"/>
      <c r="D17" s="30"/>
      <c r="E17" s="30"/>
      <c r="F17" s="30"/>
      <c r="G17" s="30"/>
      <c r="H17" s="51"/>
      <c r="I17" s="58"/>
      <c r="J17" s="18"/>
    </row>
    <row r="18" spans="1:10" ht="26.25" thickBot="1" x14ac:dyDescent="0.3">
      <c r="A18" s="20"/>
      <c r="B18" s="37" t="s">
        <v>40</v>
      </c>
      <c r="C18" s="66">
        <f>H16</f>
        <v>45852</v>
      </c>
      <c r="D18" s="42" t="s">
        <v>28</v>
      </c>
      <c r="E18" s="32">
        <v>2</v>
      </c>
      <c r="F18" s="73">
        <f>(NETWORKDAYS(C18,H18,Holidays[Holiday_Dates]))-1</f>
        <v>4</v>
      </c>
      <c r="G18" s="55">
        <f>SUM(G16,F18)</f>
        <v>29</v>
      </c>
      <c r="H18" s="66">
        <v>45859</v>
      </c>
      <c r="I18" s="48" t="s">
        <v>45</v>
      </c>
      <c r="J18" s="18"/>
    </row>
    <row r="19" spans="1:10" ht="41.25" customHeight="1" thickBot="1" x14ac:dyDescent="0.3">
      <c r="A19" s="20"/>
      <c r="B19" s="37" t="s">
        <v>41</v>
      </c>
      <c r="C19" s="38">
        <f>H18</f>
        <v>45859</v>
      </c>
      <c r="D19" s="40"/>
      <c r="E19" s="32">
        <v>2</v>
      </c>
      <c r="F19" s="73">
        <f>(NETWORKDAYS(C19,H19,Holidays[Holiday_Dates]))-1</f>
        <v>2</v>
      </c>
      <c r="G19" s="53">
        <f>SUM(G18,F19)</f>
        <v>31</v>
      </c>
      <c r="H19" s="38">
        <v>45868</v>
      </c>
      <c r="I19" s="41"/>
      <c r="J19" s="18"/>
    </row>
    <row r="20" spans="1:10" ht="18.75" thickBot="1" x14ac:dyDescent="0.3">
      <c r="A20" s="50" t="s">
        <v>12</v>
      </c>
      <c r="B20" s="30"/>
      <c r="C20" s="51"/>
      <c r="D20" s="35"/>
      <c r="E20" s="35"/>
      <c r="F20" s="35"/>
      <c r="G20" s="35"/>
      <c r="H20" s="35"/>
      <c r="I20" s="58"/>
      <c r="J20" s="18"/>
    </row>
    <row r="21" spans="1:10" ht="26.25" thickBot="1" x14ac:dyDescent="0.3">
      <c r="A21" s="20"/>
      <c r="B21" s="37" t="s">
        <v>42</v>
      </c>
      <c r="C21" s="38">
        <f>H19</f>
        <v>45868</v>
      </c>
      <c r="D21" s="42"/>
      <c r="E21" s="32">
        <v>1</v>
      </c>
      <c r="F21" s="73">
        <f>(NETWORKDAYS(C21,H21,Holidays[Holiday_Dates]))-1</f>
        <v>9</v>
      </c>
      <c r="G21" s="55">
        <f>SUM(G19,F21)</f>
        <v>40</v>
      </c>
      <c r="H21" s="66">
        <v>45881</v>
      </c>
      <c r="I21" s="48"/>
      <c r="J21" s="18"/>
    </row>
    <row r="22" spans="1:10" ht="41.25" customHeight="1" thickBot="1" x14ac:dyDescent="0.3">
      <c r="A22" s="26"/>
      <c r="B22" s="44" t="s">
        <v>43</v>
      </c>
      <c r="C22" s="39">
        <f>H21</f>
        <v>45881</v>
      </c>
      <c r="D22" s="42"/>
      <c r="E22" s="32">
        <v>1</v>
      </c>
      <c r="F22" s="73"/>
      <c r="G22" s="53">
        <f>SUM(G21,F22)</f>
        <v>40</v>
      </c>
      <c r="H22" s="67">
        <v>45881</v>
      </c>
      <c r="I22" s="42"/>
      <c r="J22" s="18"/>
    </row>
    <row r="23" spans="1:10" ht="18.75" thickBot="1" x14ac:dyDescent="0.3">
      <c r="A23" s="36" t="s">
        <v>46</v>
      </c>
      <c r="B23" s="30"/>
      <c r="C23" s="51"/>
      <c r="D23" s="35"/>
      <c r="E23" s="35"/>
      <c r="F23" s="51"/>
      <c r="G23" s="51"/>
      <c r="H23" s="51"/>
      <c r="I23" s="58"/>
      <c r="J23" s="29"/>
    </row>
    <row r="24" spans="1:10" ht="26.25" thickBot="1" x14ac:dyDescent="0.4">
      <c r="A24" s="59" t="s">
        <v>49</v>
      </c>
      <c r="B24" s="60"/>
      <c r="C24" s="51"/>
      <c r="D24" s="71"/>
      <c r="E24" s="35"/>
      <c r="F24" s="52"/>
      <c r="G24" s="56"/>
      <c r="H24" s="51"/>
      <c r="I24" s="58"/>
      <c r="J24" s="18"/>
    </row>
    <row r="25" spans="1:10" ht="26.25" thickBot="1" x14ac:dyDescent="0.3">
      <c r="A25" s="20"/>
      <c r="B25" s="37" t="s">
        <v>50</v>
      </c>
      <c r="C25" s="66">
        <v>45877</v>
      </c>
      <c r="D25" s="48" t="s">
        <v>28</v>
      </c>
      <c r="E25" s="32">
        <v>2</v>
      </c>
      <c r="F25" s="73">
        <f>(NETWORKDAYS(C25,H25,Holidays[Holiday_Dates]))-1</f>
        <v>2</v>
      </c>
      <c r="G25" s="55">
        <f>SUM(G18,F25)</f>
        <v>31</v>
      </c>
      <c r="H25" s="66">
        <v>45881</v>
      </c>
      <c r="I25" s="41" t="s">
        <v>28</v>
      </c>
      <c r="J25" s="18"/>
    </row>
    <row r="26" spans="1:10" ht="26.25" thickBot="1" x14ac:dyDescent="0.3">
      <c r="A26" s="20"/>
      <c r="B26" s="37" t="s">
        <v>51</v>
      </c>
      <c r="C26" s="39"/>
      <c r="D26" s="42"/>
      <c r="E26" s="32">
        <v>2</v>
      </c>
      <c r="F26" s="73"/>
      <c r="G26" s="54"/>
      <c r="H26" s="39"/>
      <c r="I26" s="48"/>
      <c r="J26" s="18"/>
    </row>
    <row r="27" spans="1:10" ht="26.25" thickBot="1" x14ac:dyDescent="0.3">
      <c r="A27" s="36" t="s">
        <v>47</v>
      </c>
      <c r="B27" s="30"/>
      <c r="C27" s="66">
        <v>45881</v>
      </c>
      <c r="D27" s="40" t="s">
        <v>45</v>
      </c>
      <c r="E27" s="32">
        <v>3</v>
      </c>
      <c r="F27" s="73">
        <f>(NETWORKDAYS(C27,H27,Holidays[Holiday_Dates]))-1</f>
        <v>5</v>
      </c>
      <c r="G27" s="54">
        <f>SUM(G25,F27)</f>
        <v>36</v>
      </c>
      <c r="H27" s="66">
        <v>45888</v>
      </c>
      <c r="I27" s="40" t="s">
        <v>45</v>
      </c>
      <c r="J27" s="29"/>
    </row>
    <row r="28" spans="1:10" ht="18.75" thickBot="1" x14ac:dyDescent="0.3">
      <c r="A28" s="61" t="s">
        <v>52</v>
      </c>
      <c r="B28" s="62"/>
      <c r="C28" s="51"/>
      <c r="D28" s="71"/>
      <c r="E28" s="51"/>
      <c r="F28" s="51"/>
      <c r="G28" s="51"/>
      <c r="H28" s="51"/>
      <c r="I28" s="58"/>
      <c r="J28" s="18"/>
    </row>
    <row r="29" spans="1:10" ht="26.25" thickBot="1" x14ac:dyDescent="0.3">
      <c r="A29" s="20"/>
      <c r="B29" s="37" t="s">
        <v>53</v>
      </c>
      <c r="C29" s="66"/>
      <c r="D29" s="48"/>
      <c r="E29" s="32">
        <v>2</v>
      </c>
      <c r="F29" s="73">
        <f>(NETWORKDAYS(C29,H29,Holidays[Holiday_Dates]))-1</f>
        <v>-1</v>
      </c>
      <c r="G29" s="54">
        <f>SUM(G27,F29)</f>
        <v>35</v>
      </c>
      <c r="H29" s="66"/>
      <c r="I29" s="48"/>
      <c r="J29" s="18"/>
    </row>
    <row r="30" spans="1:10" ht="26.25" thickBot="1" x14ac:dyDescent="0.3">
      <c r="A30" s="20"/>
      <c r="B30" s="37" t="s">
        <v>54</v>
      </c>
      <c r="C30" s="39"/>
      <c r="D30" s="48"/>
      <c r="E30" s="32">
        <v>2</v>
      </c>
      <c r="F30" s="73"/>
      <c r="G30" s="54"/>
      <c r="H30" s="39"/>
      <c r="I30" s="42"/>
      <c r="J30" s="18"/>
    </row>
    <row r="31" spans="1:10" ht="18.75" thickBot="1" x14ac:dyDescent="0.3">
      <c r="A31" s="36" t="s">
        <v>48</v>
      </c>
      <c r="B31" s="30"/>
      <c r="C31" s="51"/>
      <c r="D31" s="51"/>
      <c r="E31" s="51"/>
      <c r="F31" s="51"/>
      <c r="G31" s="51"/>
      <c r="H31" s="51"/>
      <c r="I31" s="58"/>
      <c r="J31" s="29"/>
    </row>
    <row r="32" spans="1:10" ht="73.5" customHeight="1" thickBot="1" x14ac:dyDescent="0.3">
      <c r="A32" s="20"/>
      <c r="B32" s="37" t="s">
        <v>55</v>
      </c>
      <c r="C32" s="66"/>
      <c r="D32" s="48" t="s">
        <v>44</v>
      </c>
      <c r="E32" s="32">
        <v>1</v>
      </c>
      <c r="F32" s="73">
        <f>(NETWORKDAYS(C32,H32,Holidays[Holiday_Dates]))-1</f>
        <v>-1</v>
      </c>
      <c r="G32" s="54">
        <f>SUM(G29,F32)</f>
        <v>34</v>
      </c>
      <c r="H32" s="66"/>
      <c r="I32" s="48" t="s">
        <v>45</v>
      </c>
      <c r="J32" s="18"/>
    </row>
    <row r="33" spans="1:10" ht="59.25" customHeight="1" thickBot="1" x14ac:dyDescent="0.3">
      <c r="A33" s="26"/>
      <c r="B33" s="37" t="s">
        <v>56</v>
      </c>
      <c r="C33" s="66"/>
      <c r="D33" s="48" t="s">
        <v>45</v>
      </c>
      <c r="E33" s="33">
        <v>1</v>
      </c>
      <c r="F33" s="79">
        <f>(NETWORKDAYS(C33,H33,Holidays[Holiday_Dates]))-1</f>
        <v>-1</v>
      </c>
      <c r="G33" s="54">
        <f>SUM(G32,F33)</f>
        <v>33</v>
      </c>
      <c r="H33" s="66"/>
      <c r="I33" s="42" t="s">
        <v>28</v>
      </c>
      <c r="J33" s="21"/>
    </row>
    <row r="34" spans="1:10" s="28" customFormat="1" ht="54" customHeight="1" thickBot="1" x14ac:dyDescent="0.4">
      <c r="A34" s="112" t="s">
        <v>13</v>
      </c>
      <c r="B34" s="113"/>
      <c r="C34" s="68"/>
      <c r="D34" s="49"/>
      <c r="E34" s="63">
        <v>51</v>
      </c>
      <c r="F34" s="72"/>
      <c r="G34" s="77">
        <f>SUM(F33,G32)</f>
        <v>33</v>
      </c>
      <c r="H34" s="78" t="s">
        <v>57</v>
      </c>
      <c r="I34" s="49"/>
      <c r="J34" s="27"/>
    </row>
  </sheetData>
  <mergeCells count="21">
    <mergeCell ref="A34:B34"/>
    <mergeCell ref="E6:E7"/>
    <mergeCell ref="E8:E9"/>
    <mergeCell ref="C8:C9"/>
    <mergeCell ref="D8:D9"/>
    <mergeCell ref="F6:F7"/>
    <mergeCell ref="F8:F9"/>
    <mergeCell ref="H3:I3"/>
    <mergeCell ref="A1:J1"/>
    <mergeCell ref="A3:B4"/>
    <mergeCell ref="G6:G7"/>
    <mergeCell ref="H6:H7"/>
    <mergeCell ref="C3:D3"/>
    <mergeCell ref="E3:G3"/>
    <mergeCell ref="C6:C7"/>
    <mergeCell ref="D6:D7"/>
    <mergeCell ref="I8:I9"/>
    <mergeCell ref="I6:I7"/>
    <mergeCell ref="J3:J4"/>
    <mergeCell ref="G8:G9"/>
    <mergeCell ref="H8:H9"/>
  </mergeCells>
  <conditionalFormatting sqref="F6:F9">
    <cfRule type="colorScale" priority="10">
      <colorScale>
        <cfvo type="num" val="0"/>
        <cfvo type="num" val="5"/>
        <cfvo type="num" val="8"/>
        <color rgb="FFFFFF00"/>
        <color rgb="FFFFEB84"/>
        <color rgb="FFFF0000"/>
      </colorScale>
    </cfRule>
  </conditionalFormatting>
  <conditionalFormatting sqref="F12 F18 F25:F26 F29:F30">
    <cfRule type="colorScale" priority="6">
      <colorScale>
        <cfvo type="num" val="0"/>
        <cfvo type="percentile" val="2"/>
        <cfvo type="num" val="3"/>
        <color theme="7" tint="0.79998168889431442"/>
        <color theme="5" tint="0.39997558519241921"/>
        <color rgb="FFFF0000"/>
      </colorScale>
    </cfRule>
  </conditionalFormatting>
  <conditionalFormatting sqref="F15 F11 F16">
    <cfRule type="colorScale" priority="7">
      <colorScale>
        <cfvo type="num" val="0"/>
        <cfvo type="percentile" val="2"/>
        <cfvo type="num" val="3"/>
        <color theme="7" tint="0.79998168889431442"/>
        <color theme="5" tint="0.39997558519241921"/>
        <color rgb="FFFF0000"/>
      </colorScale>
    </cfRule>
  </conditionalFormatting>
  <conditionalFormatting sqref="F19">
    <cfRule type="colorScale" priority="4">
      <colorScale>
        <cfvo type="num" val="0"/>
        <cfvo type="percentile" val="2"/>
        <cfvo type="num" val="3"/>
        <color theme="7" tint="0.79998168889431442"/>
        <color theme="5" tint="0.39997558519241921"/>
        <color rgb="FFFF0000"/>
      </colorScale>
    </cfRule>
  </conditionalFormatting>
  <conditionalFormatting sqref="F21">
    <cfRule type="colorScale" priority="3">
      <colorScale>
        <cfvo type="num" val="0"/>
        <cfvo type="percentile" val="2"/>
        <cfvo type="num" val="3"/>
        <color theme="7" tint="0.79998168889431442"/>
        <color theme="5" tint="0.39997558519241921"/>
        <color rgb="FFFF0000"/>
      </colorScale>
    </cfRule>
  </conditionalFormatting>
  <conditionalFormatting sqref="F22">
    <cfRule type="colorScale" priority="2">
      <colorScale>
        <cfvo type="num" val="0"/>
        <cfvo type="percentile" val="2"/>
        <cfvo type="num" val="3"/>
        <color theme="7" tint="0.79998168889431442"/>
        <color theme="5" tint="0.39997558519241921"/>
        <color rgb="FFFF0000"/>
      </colorScale>
    </cfRule>
  </conditionalFormatting>
  <conditionalFormatting sqref="F27">
    <cfRule type="colorScale" priority="5">
      <colorScale>
        <cfvo type="num" val="1"/>
        <cfvo type="num" val="2"/>
        <color theme="5" tint="0.79998168889431442"/>
        <color rgb="FFFF0000"/>
      </colorScale>
    </cfRule>
  </conditionalFormatting>
  <conditionalFormatting sqref="F32:F33">
    <cfRule type="colorScale" priority="9">
      <colorScale>
        <cfvo type="num" val="0"/>
        <cfvo type="num" val="2"/>
        <color theme="7" tint="0.79998168889431442"/>
        <color rgb="FFFF0000"/>
      </colorScale>
    </cfRule>
  </conditionalFormatting>
  <conditionalFormatting sqref="F1:G1048576">
    <cfRule type="cellIs" dxfId="0" priority="1" operator="lessThan">
      <formula>1</formula>
    </cfRule>
  </conditionalFormatting>
  <dataValidations count="1">
    <dataValidation type="list" allowBlank="1" showInputMessage="1" showErrorMessage="1" sqref="D25:D27 D11:D12 D15:D16 D18:D19 D21:D22 I6 D29:D30 I32:I33 D8 I11:I12 I15:I16 I18:I19 I21:I22 I25:I27 I29:I30 D6 I8 D32:D33" xr:uid="{E3396C4B-47DD-4F84-A7F4-3F18A4F56C82}">
      <formula1>"BPE, ACA, ARA, LABORATORY"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Calculator</vt:lpstr>
      <vt:lpstr>Sheet1</vt:lpstr>
      <vt:lpstr>Holidays</vt:lpstr>
      <vt:lpstr>LRD-ARS-FM-04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Ana Masim</dc:creator>
  <cp:lastModifiedBy>Bryan Enriquez</cp:lastModifiedBy>
  <cp:lastPrinted>2025-05-21T07:24:39Z</cp:lastPrinted>
  <dcterms:created xsi:type="dcterms:W3CDTF">2017-08-02T01:14:24Z</dcterms:created>
  <dcterms:modified xsi:type="dcterms:W3CDTF">2026-02-13T08:24:50Z</dcterms:modified>
</cp:coreProperties>
</file>